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ummer\Desktop\Education\Challenge 2\"/>
    </mc:Choice>
  </mc:AlternateContent>
  <xr:revisionPtr revIDLastSave="0" documentId="13_ncr:1_{F47959BB-5F2E-4636-9B95-07E3C0BF7A1E}" xr6:coauthVersionLast="47" xr6:coauthVersionMax="47" xr10:uidLastSave="{00000000-0000-0000-0000-000000000000}"/>
  <bookViews>
    <workbookView xWindow="28680" yWindow="-255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omparisions" sheetId="6" r:id="rId5"/>
    <sheet name="Skills Drill" sheetId="5" state="hidden" r:id="rId6"/>
  </sheets>
  <definedNames>
    <definedName name="_xlnm._FilterDatabase" localSheetId="4" hidden="1">Comparisions!$A$21:$H$21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6" l="1"/>
  <c r="N5" i="6"/>
  <c r="F5" i="6"/>
  <c r="H41" i="6"/>
  <c r="H35" i="6"/>
  <c r="C35" i="6"/>
  <c r="C41" i="6" s="1"/>
  <c r="G35" i="6"/>
  <c r="G37" i="6" s="1"/>
  <c r="G38" i="6" s="1"/>
  <c r="B35" i="6"/>
</calcChain>
</file>

<file path=xl/sharedStrings.xml><?xml version="1.0" encoding="utf-8"?>
<sst xmlns="http://schemas.openxmlformats.org/spreadsheetml/2006/main" count="12125" uniqueCount="536">
  <si>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</si>
  <si>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</si>
  <si>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</si>
  <si>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</si>
  <si>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</si>
  <si>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</si>
  <si>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</si>
  <si>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</si>
  <si>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</si>
  <si>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</si>
  <si>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</si>
  <si>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</si>
  <si>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</si>
  <si>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</si>
  <si>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</si>
  <si>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</si>
  <si>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</si>
  <si>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</si>
  <si>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</si>
  <si>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</si>
  <si>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</si>
  <si>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</si>
  <si>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</si>
  <si>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</si>
  <si>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</si>
  <si>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</si>
  <si>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</si>
  <si>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</si>
  <si>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</si>
  <si>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</si>
  <si>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</si>
  <si>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</si>
  <si>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</si>
  <si>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</si>
  <si>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</si>
  <si>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</si>
  <si>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</si>
  <si>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</si>
  <si>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</si>
  <si>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</si>
  <si>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</si>
  <si>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</si>
  <si>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</si>
  <si>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</si>
  <si>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</si>
  <si>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</si>
  <si>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</si>
  <si>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</si>
  <si>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</si>
  <si>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</si>
  <si>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</si>
  <si>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</si>
  <si>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</si>
  <si>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</si>
  <si>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</si>
  <si>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</si>
  <si>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</si>
  <si>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</si>
  <si>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</si>
  <si>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</si>
  <si>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</si>
  <si>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</si>
  <si>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</si>
  <si>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</si>
  <si>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</si>
  <si>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</si>
  <si>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</si>
  <si>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</si>
  <si>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</si>
  <si>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</si>
  <si>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</si>
  <si>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</si>
  <si>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</si>
  <si>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</si>
  <si>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</si>
  <si>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</si>
  <si>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</si>
  <si>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</si>
  <si>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</si>
  <si>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</si>
  <si>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</si>
  <si>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</si>
  <si>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</si>
  <si>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</si>
  <si>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</si>
  <si>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</si>
  <si>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</si>
  <si>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</si>
  <si>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</si>
  <si>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</si>
  <si>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</si>
  <si>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</si>
  <si>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</si>
  <si>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</si>
  <si>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</si>
  <si>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</si>
  <si>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</si>
  <si>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</si>
  <si>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</si>
  <si>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</si>
  <si>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</si>
  <si>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</si>
  <si>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</si>
  <si>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</si>
  <si>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</si>
  <si>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</si>
  <si>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</si>
  <si>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</si>
  <si>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</si>
  <si>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</si>
  <si>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</si>
  <si>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</si>
  <si>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</si>
  <si>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</si>
  <si>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</si>
  <si>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</si>
  <si>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</si>
  <si>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</si>
  <si>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</si>
  <si>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</si>
  <si>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</si>
  <si>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</si>
  <si>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</si>
  <si>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</si>
  <si>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</si>
  <si>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</si>
  <si>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</si>
  <si>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</si>
  <si>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</si>
  <si>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</si>
  <si>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</si>
  <si>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</si>
  <si>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</si>
  <si>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</si>
  <si>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</si>
  <si>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</si>
  <si>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</si>
  <si>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</si>
  <si>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</si>
  <si>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</si>
  <si>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</si>
  <si>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</si>
  <si>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</si>
  <si>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</si>
  <si>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</si>
  <si>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</si>
  <si>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</si>
  <si>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</si>
  <si>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</si>
  <si>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</si>
  <si>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</si>
  <si>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</si>
  <si>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</si>
  <si>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</si>
  <si>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</si>
  <si>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</si>
  <si>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</si>
  <si>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</si>
  <si>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</si>
  <si>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</si>
  <si>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</si>
  <si>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</si>
  <si>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</si>
  <si>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</si>
  <si>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</si>
  <si>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</si>
  <si>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</si>
  <si>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</si>
  <si>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</si>
  <si>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</si>
  <si>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</si>
  <si>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</si>
  <si>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</si>
  <si>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</si>
  <si>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</si>
  <si>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</si>
  <si>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</si>
  <si>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</si>
  <si>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</si>
  <si>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</si>
  <si>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</si>
  <si>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</si>
  <si>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</si>
  <si>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</si>
  <si>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</si>
  <si>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</si>
  <si>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</si>
  <si>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</si>
  <si>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</si>
  <si>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</si>
  <si>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</si>
  <si>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</si>
  <si>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</si>
  <si>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</si>
  <si>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</si>
  <si>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</si>
  <si>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</si>
  <si>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</si>
  <si>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</si>
  <si>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</si>
  <si>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</si>
  <si>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</si>
  <si>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</si>
  <si>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</si>
  <si>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</si>
  <si>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</si>
  <si>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</si>
  <si>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</si>
  <si>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</si>
  <si>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</si>
  <si>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</si>
  <si>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</si>
  <si>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</si>
  <si>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</si>
  <si>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</si>
  <si>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</si>
  <si>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</si>
  <si>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</si>
  <si>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</si>
  <si>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</si>
  <si>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</si>
  <si>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</si>
  <si>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</si>
  <si>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</si>
  <si>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</si>
  <si>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</si>
  <si>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</si>
  <si>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</si>
  <si>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</si>
  <si>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</si>
  <si>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</si>
  <si>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</si>
  <si>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</si>
  <si>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</si>
  <si>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</si>
  <si>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</si>
  <si>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</si>
  <si>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</si>
  <si>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</si>
  <si>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</si>
  <si>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</si>
  <si>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</si>
  <si>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</si>
  <si>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</si>
  <si>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</si>
  <si>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</si>
  <si>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</si>
  <si>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</si>
  <si>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</si>
  <si>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</si>
  <si>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</si>
  <si>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</si>
  <si>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</si>
  <si>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</si>
  <si>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</si>
  <si>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</si>
  <si>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</si>
  <si>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</si>
  <si>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</si>
  <si>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</si>
  <si>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</si>
  <si>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</si>
  <si>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</si>
  <si>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</si>
  <si>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</si>
  <si>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</si>
  <si>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</si>
  <si>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</si>
  <si>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</si>
  <si>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</si>
  <si>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</si>
  <si>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</si>
  <si>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</si>
  <si>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</si>
  <si>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</si>
  <si>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</si>
  <si>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</si>
  <si>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</si>
  <si>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</si>
  <si>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</si>
  <si>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</si>
  <si>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</si>
  <si>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</si>
  <si>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</si>
  <si>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</si>
  <si>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</si>
  <si>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</si>
  <si>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</si>
  <si>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</si>
  <si>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</si>
  <si>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</si>
  <si>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</si>
  <si>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</si>
  <si>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</si>
  <si>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</si>
  <si>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</si>
  <si>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</si>
  <si>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</si>
  <si>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</si>
  <si>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</si>
  <si>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</si>
  <si>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</si>
  <si>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</si>
  <si>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</si>
  <si>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</si>
  <si>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</si>
  <si>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</si>
  <si>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</si>
  <si>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</si>
  <si>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</si>
  <si>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</si>
  <si>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</si>
  <si>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</si>
  <si>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</si>
  <si>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</si>
  <si>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</si>
  <si>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</si>
  <si>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</si>
  <si>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</si>
  <si>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</si>
  <si>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</si>
  <si>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</si>
  <si>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</si>
  <si>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</si>
  <si>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</si>
  <si>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</si>
  <si>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</si>
  <si>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</si>
  <si>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</si>
  <si>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</si>
  <si>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</si>
  <si>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</si>
  <si>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</si>
  <si>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</si>
  <si>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</si>
  <si>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</si>
  <si>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</si>
  <si>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</si>
  <si>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</si>
  <si>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</si>
  <si>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</si>
  <si>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</si>
  <si>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</si>
  <si>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</si>
  <si>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</si>
  <si>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</si>
  <si>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</si>
  <si>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</si>
  <si>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</si>
  <si>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</si>
  <si>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</si>
  <si>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</si>
  <si>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</si>
  <si>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</si>
  <si>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</si>
  <si>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</si>
  <si>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</si>
  <si>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</si>
  <si>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</si>
  <si>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</si>
  <si>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</si>
  <si>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</si>
  <si>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</si>
  <si>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</si>
  <si>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</si>
  <si>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</si>
  <si>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</si>
  <si>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</si>
  <si>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</si>
  <si>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</si>
  <si>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</si>
  <si>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</si>
  <si>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</si>
  <si>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</si>
  <si>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</si>
  <si>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</si>
  <si>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</si>
  <si>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</si>
  <si>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</si>
  <si>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</si>
  <si>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</si>
  <si>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</si>
  <si>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</si>
  <si>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</si>
  <si>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</si>
  <si>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</si>
  <si>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</si>
  <si>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</si>
  <si>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</si>
  <si>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</si>
  <si>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</si>
  <si>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</si>
  <si>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</si>
  <si>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</si>
  <si>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</si>
  <si>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</si>
  <si>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</si>
  <si>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</si>
  <si>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</si>
  <si>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</si>
  <si>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</si>
  <si>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</si>
  <si>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</si>
  <si>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</si>
  <si>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</si>
  <si>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</si>
  <si>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</si>
  <si>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</si>
  <si>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</si>
  <si>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</si>
  <si>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</si>
  <si>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</si>
  <si>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</si>
  <si>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</si>
  <si>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</si>
  <si>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</si>
  <si>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</si>
  <si>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</si>
  <si>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</si>
  <si>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</si>
  <si>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</si>
  <si>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</si>
  <si>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</si>
  <si>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</si>
  <si>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</si>
  <si>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</si>
  <si>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</si>
  <si>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</si>
  <si>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</si>
  <si>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</si>
  <si>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</si>
  <si>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</si>
  <si>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</si>
  <si>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</si>
  <si>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</si>
  <si>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</si>
  <si>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</si>
  <si>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</si>
  <si>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</si>
  <si>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</si>
  <si>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</si>
  <si>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</si>
  <si>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</si>
  <si>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</si>
  <si>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</si>
  <si>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</si>
  <si>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</si>
  <si>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</si>
  <si>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</si>
  <si>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</si>
  <si>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</si>
  <si>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</si>
  <si>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</si>
  <si>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</si>
  <si>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</si>
  <si>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</si>
  <si>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</si>
  <si>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</si>
  <si>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</si>
  <si>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</si>
  <si>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</si>
  <si>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</si>
  <si>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</si>
  <si>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</si>
  <si>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</si>
  <si>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</si>
  <si>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</si>
  <si>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</si>
  <si>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</si>
  <si>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</si>
  <si>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</si>
  <si>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</si>
  <si>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</si>
  <si>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</si>
  <si>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</si>
  <si>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</si>
  <si>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</si>
  <si>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</si>
  <si>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</si>
  <si>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</si>
  <si>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</si>
  <si>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</si>
  <si>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</si>
  <si>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</si>
  <si>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</si>
  <si>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</si>
  <si>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</si>
  <si>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</si>
  <si>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</si>
  <si>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</si>
  <si>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</si>
  <si>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</si>
  <si>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</si>
  <si>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</si>
  <si>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</si>
  <si>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</si>
  <si>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</si>
  <si>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</si>
  <si>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</si>
  <si>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</si>
  <si>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</si>
  <si>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</si>
  <si>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</si>
  <si>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</si>
  <si>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</si>
  <si>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</si>
  <si>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</si>
  <si>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</si>
  <si>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</si>
  <si>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</si>
  <si>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</si>
  <si>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</si>
  <si>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</si>
  <si>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</si>
  <si>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</si>
  <si>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</si>
  <si>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</si>
  <si>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</si>
  <si>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</si>
  <si>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</si>
  <si>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</si>
  <si>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</si>
  <si>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</si>
  <si>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</si>
  <si>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</si>
  <si>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</si>
  <si>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</si>
  <si>
    <t>All Stocks (2018)</t>
  </si>
  <si>
    <t>Original Macros - Execution Time</t>
  </si>
  <si>
    <t>Total</t>
  </si>
  <si>
    <t>Difference</t>
  </si>
  <si>
    <t>Total Volume Difference</t>
  </si>
  <si>
    <t>Refactored Macros - Execution Time</t>
  </si>
  <si>
    <t>Positive Returns</t>
  </si>
  <si>
    <t>Positive Return %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</si>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</sst>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7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9" fontId="0" fillId="0" borderId="0" xfId="2" applyFont="1"/>
    <xf numFmtId="43" fontId="0" fillId="0" borderId="0" xfId="1" applyFont="1"/>
    <xf numFmtId="167" fontId="0" fillId="0" borderId="0" xfId="1" applyNumberFormat="1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9525</xdr:rowOff>
        </xdr:from>
        <xdr:to>
          <xdr:col>13</xdr:col>
          <xdr:colOff>171450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5</xdr:row>
          <xdr:rowOff>0</xdr:rowOff>
        </xdr:from>
        <xdr:to>
          <xdr:col>13</xdr:col>
          <xdr:colOff>66675</xdr:colOff>
          <xdr:row>7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9524</xdr:colOff>
          <xdr:row>4</xdr:row>
          <xdr:rowOff>9525</xdr:rowOff>
        </xdr:from>
        <xdr:to>
          <xdr:col>14</xdr:col>
          <xdr:colOff>19049</xdr:colOff>
          <xdr:row>6</xdr:row>
          <xdr:rowOff>123825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Challenge 2 - Refactored Stock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7</xdr:row>
          <xdr:rowOff>114300</xdr:rowOff>
        </xdr:from>
        <xdr:to>
          <xdr:col>14</xdr:col>
          <xdr:colOff>19050</xdr:colOff>
          <xdr:row>9</xdr:row>
          <xdr:rowOff>114300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0</xdr:rowOff>
    </xdr:from>
    <xdr:to>
      <xdr:col>11</xdr:col>
      <xdr:colOff>571124</xdr:colOff>
      <xdr:row>7</xdr:row>
      <xdr:rowOff>142714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190500"/>
          <a:ext cx="3009524" cy="1285714"/>
        </a:xfrm>
        <a:prstGeom prst="rect">
          <a:avLst/>
        </a:prstGeom>
      </xdr:spPr>
    </xdr:pic>
    <xdr:clientData/>
  </xdr:twoCellAnchor>
  <xdr:twoCellAnchor editAs="oneCell">
    <xdr:from>
      <xdr:col>6</xdr:col>
      <xdr:colOff>1162050</xdr:colOff>
      <xdr:row>8</xdr:row>
      <xdr:rowOff>152400</xdr:rowOff>
    </xdr:from>
    <xdr:to>
      <xdr:col>11</xdr:col>
      <xdr:colOff>561975</xdr:colOff>
      <xdr:row>16</xdr:row>
      <xdr:rowOff>142875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10200" y="1676400"/>
          <a:ext cx="3038475" cy="15144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3</xdr:col>
      <xdr:colOff>571126</xdr:colOff>
      <xdr:row>7</xdr:row>
      <xdr:rowOff>133190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90500"/>
          <a:ext cx="2990476" cy="12761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161924</xdr:rowOff>
    </xdr:from>
    <xdr:to>
      <xdr:col>4</xdr:col>
      <xdr:colOff>47240</xdr:colOff>
      <xdr:row>16</xdr:row>
      <xdr:rowOff>19049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685924"/>
          <a:ext cx="3076190" cy="1381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U10" sqref="U10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19" workbookViewId="0">
      <selection activeCell="O12" sqref="O1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67961-7C46-4E1E-911C-32865F4A787B}">
  <sheetPr codeName="Sheet3"/>
  <dimension ref="A1:C4"/>
  <sheetViews>
    <sheetView workbookViewId="0">
      <selection activeCell="W7" sqref="W7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DQAnalysis">
                <anchor moveWithCells="1" sizeWithCells="1">
                  <from>
                    <xdr:col>10</xdr:col>
                    <xdr:colOff>19050</xdr:colOff>
                    <xdr:row>1</xdr:row>
                    <xdr:rowOff>9525</xdr:rowOff>
                  </from>
                  <to>
                    <xdr:col>13</xdr:col>
                    <xdr:colOff>171450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learWorkSheet">
                <anchor moveWithCells="1" sizeWithCells="1">
                  <from>
                    <xdr:col>10</xdr:col>
                    <xdr:colOff>66675</xdr:colOff>
                    <xdr:row>5</xdr:row>
                    <xdr:rowOff>0</xdr:rowOff>
                  </from>
                  <to>
                    <xdr:col>13</xdr:col>
                    <xdr:colOff>66675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11A08-D773-4E51-A5DE-F64481744AF2}">
  <sheetPr codeName="Sheet4"/>
  <dimension ref="A1:C15"/>
  <sheetViews>
    <sheetView tabSelected="1" workbookViewId="0">
      <selection activeCell="F5" sqref="F5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136070900</v>
      </c>
      <c r="C4" s="4">
        <v>8.9368253946304321E-2</v>
      </c>
    </row>
    <row r="5" spans="1:3" x14ac:dyDescent="0.25">
      <c r="A5" t="s">
        <v>9</v>
      </c>
      <c r="B5" s="3">
        <v>310592800</v>
      </c>
      <c r="C5" s="4">
        <v>0.33070248365402222</v>
      </c>
    </row>
    <row r="6" spans="1:3" x14ac:dyDescent="0.25">
      <c r="A6" t="s">
        <v>10</v>
      </c>
      <c r="B6" s="3">
        <v>35796200</v>
      </c>
      <c r="C6" s="4">
        <v>1.9944583177566528</v>
      </c>
    </row>
    <row r="7" spans="1:3" x14ac:dyDescent="0.25">
      <c r="A7" t="s">
        <v>11</v>
      </c>
      <c r="B7" s="3">
        <v>221772100</v>
      </c>
      <c r="C7" s="4">
        <v>1.2952382564544678</v>
      </c>
    </row>
    <row r="8" spans="1:3" x14ac:dyDescent="0.25">
      <c r="A8" t="s">
        <v>12</v>
      </c>
      <c r="B8" s="3">
        <v>684181400</v>
      </c>
      <c r="C8" s="4">
        <v>1.0131185054779053</v>
      </c>
    </row>
    <row r="9" spans="1:3" x14ac:dyDescent="0.25">
      <c r="A9" t="s">
        <v>13</v>
      </c>
      <c r="B9" s="3">
        <v>80949300</v>
      </c>
      <c r="C9" s="4">
        <v>0.2583681046962738</v>
      </c>
    </row>
    <row r="10" spans="1:3" x14ac:dyDescent="0.25">
      <c r="A10" t="s">
        <v>14</v>
      </c>
      <c r="B10" s="3">
        <v>191632200</v>
      </c>
      <c r="C10" s="4">
        <v>0.53870755434036255</v>
      </c>
    </row>
    <row r="11" spans="1:3" x14ac:dyDescent="0.25">
      <c r="A11" t="s">
        <v>15</v>
      </c>
      <c r="B11" s="3">
        <v>267681300</v>
      </c>
      <c r="C11" s="4">
        <v>5.5456161499023438E-2</v>
      </c>
    </row>
    <row r="12" spans="1:3" x14ac:dyDescent="0.25">
      <c r="A12" t="s">
        <v>16</v>
      </c>
      <c r="B12" s="3">
        <v>206885200</v>
      </c>
      <c r="C12" s="4">
        <v>1.8446969985961914</v>
      </c>
    </row>
    <row r="13" spans="1:3" x14ac:dyDescent="0.25">
      <c r="A13" t="s">
        <v>17</v>
      </c>
      <c r="B13" s="3">
        <v>782187000</v>
      </c>
      <c r="C13" s="4">
        <v>0.23065699636936188</v>
      </c>
    </row>
    <row r="14" spans="1:3" x14ac:dyDescent="0.25">
      <c r="A14" t="s">
        <v>18</v>
      </c>
      <c r="B14" s="3">
        <v>139402800</v>
      </c>
      <c r="C14" s="5">
        <v>-7.2148971259593964E-2</v>
      </c>
    </row>
    <row r="15" spans="1:3" x14ac:dyDescent="0.25">
      <c r="A15" t="s">
        <v>19</v>
      </c>
      <c r="B15" s="3">
        <v>109487900</v>
      </c>
      <c r="C15" s="4">
        <v>0.50000005960464478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yearValueAnalysis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AllStocksAnalysisRefactored">
                <anchor moveWithCells="1" sizeWithCells="1">
                  <from>
                    <xdr:col>11</xdr:col>
                    <xdr:colOff>9525</xdr:colOff>
                    <xdr:row>4</xdr:row>
                    <xdr:rowOff>9525</xdr:rowOff>
                  </from>
                  <to>
                    <xdr:col>14</xdr:col>
                    <xdr:colOff>19050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ClearWorkSheet">
                <anchor moveWithCells="1" sizeWithCells="1">
                  <from>
                    <xdr:col>11</xdr:col>
                    <xdr:colOff>19050</xdr:colOff>
                    <xdr:row>7</xdr:row>
                    <xdr:rowOff>114300</xdr:rowOff>
                  </from>
                  <to>
                    <xdr:col>14</xdr:col>
                    <xdr:colOff>19050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E0534-CC94-48F0-AAE9-766DCEBBD4D5}">
  <sheetPr codeName="Sheet6"/>
  <dimension ref="A1:N41"/>
  <sheetViews>
    <sheetView workbookViewId="0">
      <selection activeCell="M8" sqref="M8"/>
    </sheetView>
  </sheetViews>
  <sheetFormatPr defaultRowHeight="15" x14ac:dyDescent="0.25"/>
  <cols>
    <col min="2" max="2" width="18" bestFit="1" customWidth="1"/>
    <col min="7" max="7" width="18" bestFit="1" customWidth="1"/>
    <col min="13" max="13" width="10.42578125" bestFit="1" customWidth="1"/>
  </cols>
  <sheetData>
    <row r="1" spans="1:14" x14ac:dyDescent="0.25">
      <c r="A1" t="s">
        <v>532</v>
      </c>
      <c r="H1" t="s">
        <v>528</v>
      </c>
    </row>
    <row r="3" spans="1:14" x14ac:dyDescent="0.25">
      <c r="F3">
        <v>0.1132813</v>
      </c>
      <c r="N3">
        <v>0.74609380000000003</v>
      </c>
    </row>
    <row r="4" spans="1:14" x14ac:dyDescent="0.25">
      <c r="F4">
        <v>0.1171875</v>
      </c>
      <c r="N4">
        <v>0.75</v>
      </c>
    </row>
    <row r="5" spans="1:14" x14ac:dyDescent="0.25">
      <c r="E5" t="s">
        <v>535</v>
      </c>
      <c r="F5">
        <f>AVERAGE(F3:F4)</f>
        <v>0.1152344</v>
      </c>
      <c r="M5" t="s">
        <v>535</v>
      </c>
      <c r="N5">
        <f>AVERAGE(N3:N4)</f>
        <v>0.74804690000000007</v>
      </c>
    </row>
    <row r="7" spans="1:14" x14ac:dyDescent="0.25">
      <c r="M7" t="s">
        <v>530</v>
      </c>
      <c r="N7">
        <f>N5-F5</f>
        <v>0.63281250000000011</v>
      </c>
    </row>
    <row r="19" spans="1:8" x14ac:dyDescent="0.25">
      <c r="A19" t="s">
        <v>526</v>
      </c>
      <c r="F19" t="s">
        <v>527</v>
      </c>
    </row>
    <row r="21" spans="1:8" x14ac:dyDescent="0.25">
      <c r="A21" s="2" t="s">
        <v>0</v>
      </c>
      <c r="B21" s="2" t="s">
        <v>524</v>
      </c>
      <c r="C21" s="2" t="s">
        <v>525</v>
      </c>
      <c r="F21" s="2" t="s">
        <v>0</v>
      </c>
      <c r="G21" s="2" t="s">
        <v>524</v>
      </c>
      <c r="H21" s="2" t="s">
        <v>525</v>
      </c>
    </row>
    <row r="22" spans="1:8" x14ac:dyDescent="0.25">
      <c r="A22" t="s">
        <v>10</v>
      </c>
      <c r="B22" s="3">
        <v>35796200</v>
      </c>
      <c r="C22" s="4">
        <v>1.9944583177566528</v>
      </c>
      <c r="F22" t="s">
        <v>10</v>
      </c>
      <c r="G22" s="3">
        <v>107873900</v>
      </c>
      <c r="H22" s="5">
        <v>-0.62601888179779053</v>
      </c>
    </row>
    <row r="23" spans="1:8" x14ac:dyDescent="0.25">
      <c r="A23" t="s">
        <v>13</v>
      </c>
      <c r="B23" s="3">
        <v>80949300</v>
      </c>
      <c r="C23" s="4">
        <v>0.2583681046962738</v>
      </c>
      <c r="F23" t="s">
        <v>13</v>
      </c>
      <c r="G23" s="3">
        <v>104340600</v>
      </c>
      <c r="H23" s="5">
        <v>-0.20658062398433685</v>
      </c>
    </row>
    <row r="24" spans="1:8" x14ac:dyDescent="0.25">
      <c r="A24" t="s">
        <v>19</v>
      </c>
      <c r="B24" s="3">
        <v>109487900</v>
      </c>
      <c r="C24" s="4">
        <v>0.50000005960464478</v>
      </c>
      <c r="F24" t="s">
        <v>19</v>
      </c>
      <c r="G24" s="3">
        <v>136539100</v>
      </c>
      <c r="H24" s="5">
        <v>-3.5443063825368881E-2</v>
      </c>
    </row>
    <row r="25" spans="1:8" x14ac:dyDescent="0.25">
      <c r="A25" t="s">
        <v>8</v>
      </c>
      <c r="B25" s="3">
        <v>136070900</v>
      </c>
      <c r="C25" s="4">
        <v>8.9368253946304321E-2</v>
      </c>
      <c r="F25" t="s">
        <v>8</v>
      </c>
      <c r="G25" s="3">
        <v>83079900</v>
      </c>
      <c r="H25" s="5">
        <v>-7.2847634553909302E-2</v>
      </c>
    </row>
    <row r="26" spans="1:8" x14ac:dyDescent="0.25">
      <c r="A26" t="s">
        <v>18</v>
      </c>
      <c r="B26" s="3">
        <v>139402800</v>
      </c>
      <c r="C26" s="5">
        <v>-7.2148971259593964E-2</v>
      </c>
      <c r="F26" t="s">
        <v>18</v>
      </c>
      <c r="G26" s="3">
        <v>151434700</v>
      </c>
      <c r="H26" s="5">
        <v>-4.9957673996686935E-2</v>
      </c>
    </row>
    <row r="27" spans="1:8" x14ac:dyDescent="0.25">
      <c r="A27" t="s">
        <v>14</v>
      </c>
      <c r="B27" s="3">
        <v>191632200</v>
      </c>
      <c r="C27" s="4">
        <v>0.53870755434036255</v>
      </c>
      <c r="F27" t="s">
        <v>14</v>
      </c>
      <c r="G27" s="3">
        <v>158309000</v>
      </c>
      <c r="H27" s="5">
        <v>-0.6053471565246582</v>
      </c>
    </row>
    <row r="28" spans="1:8" x14ac:dyDescent="0.25">
      <c r="A28" t="s">
        <v>16</v>
      </c>
      <c r="B28" s="3">
        <v>206885200</v>
      </c>
      <c r="C28" s="4">
        <v>1.8446969985961914</v>
      </c>
      <c r="F28" t="s">
        <v>16</v>
      </c>
      <c r="G28" s="3">
        <v>237212300</v>
      </c>
      <c r="H28" s="5">
        <v>-7.7529586851596832E-2</v>
      </c>
    </row>
    <row r="29" spans="1:8" x14ac:dyDescent="0.25">
      <c r="A29" t="s">
        <v>11</v>
      </c>
      <c r="B29" s="3">
        <v>221772100</v>
      </c>
      <c r="C29" s="4">
        <v>1.2952382564544678</v>
      </c>
      <c r="F29" t="s">
        <v>11</v>
      </c>
      <c r="G29" s="3">
        <v>607473500</v>
      </c>
      <c r="H29" s="4">
        <v>0.81923085451126099</v>
      </c>
    </row>
    <row r="30" spans="1:8" x14ac:dyDescent="0.25">
      <c r="A30" t="s">
        <v>15</v>
      </c>
      <c r="B30" s="3">
        <v>267681300</v>
      </c>
      <c r="C30" s="4">
        <v>5.5456161499023438E-2</v>
      </c>
      <c r="F30" t="s">
        <v>15</v>
      </c>
      <c r="G30" s="3">
        <v>502757100</v>
      </c>
      <c r="H30" s="4">
        <v>0.83952707052230835</v>
      </c>
    </row>
    <row r="31" spans="1:8" x14ac:dyDescent="0.25">
      <c r="A31" t="s">
        <v>9</v>
      </c>
      <c r="B31" s="3">
        <v>310592800</v>
      </c>
      <c r="C31" s="4">
        <v>0.33070248365402222</v>
      </c>
      <c r="F31" t="s">
        <v>9</v>
      </c>
      <c r="G31" s="3">
        <v>200879900</v>
      </c>
      <c r="H31" s="5">
        <v>-0.16336052119731903</v>
      </c>
    </row>
    <row r="32" spans="1:8" x14ac:dyDescent="0.25">
      <c r="A32" t="s">
        <v>12</v>
      </c>
      <c r="B32" s="3">
        <v>684181400</v>
      </c>
      <c r="C32" s="4">
        <v>1.0131185054779053</v>
      </c>
      <c r="F32" t="s">
        <v>12</v>
      </c>
      <c r="G32" s="3">
        <v>478113900</v>
      </c>
      <c r="H32" s="5">
        <v>-0.39713191986083984</v>
      </c>
    </row>
    <row r="33" spans="1:8" x14ac:dyDescent="0.25">
      <c r="A33" t="s">
        <v>17</v>
      </c>
      <c r="B33" s="3">
        <v>782187000</v>
      </c>
      <c r="C33" s="4">
        <v>0.23065699636936188</v>
      </c>
      <c r="F33" t="s">
        <v>17</v>
      </c>
      <c r="G33" s="3">
        <v>538024300</v>
      </c>
      <c r="H33" s="5">
        <v>-0.44593092799186707</v>
      </c>
    </row>
    <row r="35" spans="1:8" x14ac:dyDescent="0.25">
      <c r="A35" t="s">
        <v>529</v>
      </c>
      <c r="B35" s="3">
        <f>SUM(B22:B34)</f>
        <v>3166639100</v>
      </c>
      <c r="C35" s="8">
        <f>COUNT(C22:C33)</f>
        <v>12</v>
      </c>
      <c r="G35" s="3">
        <f>SUM(G22:G34)</f>
        <v>3306038200</v>
      </c>
      <c r="H35" s="8">
        <f>COUNT(H22:H33)</f>
        <v>12</v>
      </c>
    </row>
    <row r="36" spans="1:8" x14ac:dyDescent="0.25">
      <c r="B36" s="3"/>
      <c r="C36" s="7"/>
      <c r="G36" s="3"/>
      <c r="H36" s="7"/>
    </row>
    <row r="37" spans="1:8" x14ac:dyDescent="0.25">
      <c r="A37" t="s">
        <v>531</v>
      </c>
      <c r="B37" s="3"/>
      <c r="C37" s="7"/>
      <c r="G37" s="3">
        <f>G35-B35</f>
        <v>139399100</v>
      </c>
      <c r="H37" s="7"/>
    </row>
    <row r="38" spans="1:8" x14ac:dyDescent="0.25">
      <c r="G38" s="6">
        <f>G37/B35</f>
        <v>4.4021151636762144E-2</v>
      </c>
    </row>
    <row r="39" spans="1:8" x14ac:dyDescent="0.25">
      <c r="G39" s="6"/>
    </row>
    <row r="40" spans="1:8" x14ac:dyDescent="0.25">
      <c r="A40" t="s">
        <v>533</v>
      </c>
      <c r="C40">
        <v>11</v>
      </c>
      <c r="H40">
        <v>2</v>
      </c>
    </row>
    <row r="41" spans="1:8" x14ac:dyDescent="0.25">
      <c r="A41" t="s">
        <v>534</v>
      </c>
      <c r="C41" s="6">
        <f>C40/C35</f>
        <v>0.91666666666666663</v>
      </c>
      <c r="H41" s="6">
        <f>H40/H35</f>
        <v>0.16666666666666666</v>
      </c>
    </row>
  </sheetData>
  <autoFilter ref="A21:H21" xr:uid="{30BE0534-CC94-48F0-AAE9-766DCEBBD4D5}">
    <sortState xmlns:xlrd2="http://schemas.microsoft.com/office/spreadsheetml/2017/richdata2" ref="A22:H33">
      <sortCondition ref="B21"/>
    </sortState>
  </autoFilter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4658B-CAE4-446D-8F9F-6A386C157B0B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Comparisions</vt:lpstr>
      <vt:lpstr>Skills 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Summer</dc:creator>
  <cp:lastModifiedBy>Summer</cp:lastModifiedBy>
  <dcterms:created xsi:type="dcterms:W3CDTF">2019-05-02T20:23:55Z</dcterms:created>
  <dcterms:modified xsi:type="dcterms:W3CDTF">2021-06-20T23:37:36Z</dcterms:modified>
</cp:coreProperties>
</file>